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5\Qi Wireless charger\15W-Dual-Transmitter\BOM\"/>
    </mc:Choice>
  </mc:AlternateContent>
  <bookViews>
    <workbookView xWindow="0" yWindow="0" windowWidth="28800" windowHeight="121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<sst xmlns="http://schemas.openxmlformats.org/spreadsheetml/2006/main" count="141" uniqueCount="110">
  <si>
    <t>#</t>
  </si>
  <si>
    <t>Item Type</t>
  </si>
  <si>
    <t>TVS/ESD</t>
  </si>
  <si>
    <t>Diode</t>
  </si>
  <si>
    <t>Fuse</t>
  </si>
  <si>
    <t>LED</t>
  </si>
  <si>
    <t>[NoParam], NTC Thermistor</t>
  </si>
  <si>
    <t>Resistor</t>
  </si>
  <si>
    <t>IC</t>
  </si>
  <si>
    <t>Designator</t>
  </si>
  <si>
    <t>C1</t>
  </si>
  <si>
    <t>C2, C3, C6, C7, C18, C19</t>
  </si>
  <si>
    <t>C4, C5</t>
  </si>
  <si>
    <t>C8, C9, C10, C11, C14, C17</t>
  </si>
  <si>
    <t>C12, C13, C15, C16</t>
  </si>
  <si>
    <t>C20, C21</t>
  </si>
  <si>
    <t>C22, C23</t>
  </si>
  <si>
    <t>D1</t>
  </si>
  <si>
    <t>D2, D3</t>
  </si>
  <si>
    <t>F1</t>
  </si>
  <si>
    <t>J1</t>
  </si>
  <si>
    <t>LED1, LED2</t>
  </si>
  <si>
    <t>LED3, LED4</t>
  </si>
  <si>
    <t>R1</t>
  </si>
  <si>
    <t>R2, R3</t>
  </si>
  <si>
    <t>R4, R5, R14, R15, RT1, RT2</t>
  </si>
  <si>
    <t>R6, R7</t>
  </si>
  <si>
    <t>R8, R9</t>
  </si>
  <si>
    <t>R10, R11, R12, R13</t>
  </si>
  <si>
    <t>R16, R17</t>
  </si>
  <si>
    <t>U1</t>
  </si>
  <si>
    <t>U2, U3</t>
  </si>
  <si>
    <t>U4, U5</t>
  </si>
  <si>
    <t>Description</t>
  </si>
  <si>
    <t>GRM188R61E106KA73D</t>
  </si>
  <si>
    <t>CC0402KRX7R9BB153</t>
  </si>
  <si>
    <t>GRM188R71H104KA93D</t>
  </si>
  <si>
    <t>CC0805MKX5R8BB226</t>
  </si>
  <si>
    <t>GRM188R71H222KA01D</t>
  </si>
  <si>
    <t>GRM155R61E225KE11D</t>
  </si>
  <si>
    <t>13.7A 400W 29.2V 20V Unidirectional 18V SMA(DO-214AC) Electrostatic and Surge Protection (TVS/ESD) ROHS</t>
  </si>
  <si>
    <t>DIODE SCHOTTKY 40V 1A SOD123</t>
  </si>
  <si>
    <t>24V 3A 40A 6A 1812 Resettable Fuses ROHS</t>
  </si>
  <si>
    <t>RED LED 0603 Light Emitting Diodes</t>
  </si>
  <si>
    <t>Emerald 0603 Light Emitting Diodes (LED) ROHS</t>
  </si>
  <si>
    <t>RC0603FR-073K3L</t>
  </si>
  <si>
    <t>RT0603BRD07100KL, 100kΩ 100uA 100mW 3950K ±1% 0603 NTC Thermistors ROHS</t>
  </si>
  <si>
    <t>RC0603FR-0733KL</t>
  </si>
  <si>
    <t>RC0603FR-0710KL</t>
  </si>
  <si>
    <t>RC0603FR-071KL, [NoValue]</t>
  </si>
  <si>
    <t>RES 0.02 OHM 1% 2W 2512</t>
  </si>
  <si>
    <t>DFN-6L-EP(2x2) USB PD ROHS</t>
  </si>
  <si>
    <t>WE-WPCC Wireless Power Transfer Transmitter Coil, THT, Qi - MP-A2, 10uH, 150W</t>
  </si>
  <si>
    <t>Footprint</t>
  </si>
  <si>
    <t>Cap-0603</t>
  </si>
  <si>
    <t>CAP-TH_L9.0-W3.5-P7.50-D1.0</t>
  </si>
  <si>
    <t>Cap-0805</t>
  </si>
  <si>
    <t>SMA(DO-214AC)</t>
  </si>
  <si>
    <t>SOD-123</t>
  </si>
  <si>
    <t>Fuse-1812_</t>
  </si>
  <si>
    <t>GCT_USB4105-GF-A</t>
  </si>
  <si>
    <t>LED-0603</t>
  </si>
  <si>
    <t>Res-0603</t>
  </si>
  <si>
    <t>RES-2512</t>
  </si>
  <si>
    <t>DFN-6L-EP(2x2)</t>
  </si>
  <si>
    <t>QFN-32_L5.0-W5.0-P0.50-BL-EP3.8</t>
  </si>
  <si>
    <t>Manufacturer Part Number</t>
  </si>
  <si>
    <t>SMAJ18A</t>
  </si>
  <si>
    <t>1N5819HW-7-F</t>
  </si>
  <si>
    <t>BSMD1812-300-24V</t>
  </si>
  <si>
    <t>NCD0603R3</t>
  </si>
  <si>
    <t>NCD0603G2</t>
  </si>
  <si>
    <t>[NoParam], KNTC0603/100KF3950</t>
  </si>
  <si>
    <t>PA2512FKE7W0R02E</t>
  </si>
  <si>
    <t>HUSB237-AA001-DN06R</t>
  </si>
  <si>
    <t>Manufacturer</t>
  </si>
  <si>
    <t>SMC</t>
  </si>
  <si>
    <t>Diodes</t>
  </si>
  <si>
    <t>BHFUSE</t>
  </si>
  <si>
    <t>Foshan NationStar Optoelectronics</t>
  </si>
  <si>
    <t>[NoParam], KUU</t>
  </si>
  <si>
    <t>Yageo</t>
  </si>
  <si>
    <t>Hynetek</t>
  </si>
  <si>
    <t>Wurth Elektronik</t>
  </si>
  <si>
    <t>Comment</t>
  </si>
  <si>
    <t>10uF</t>
  </si>
  <si>
    <t>15nF</t>
  </si>
  <si>
    <t>250nF</t>
  </si>
  <si>
    <t>100nF</t>
  </si>
  <si>
    <t>22uF</t>
  </si>
  <si>
    <t>2.2nF</t>
  </si>
  <si>
    <t>2.2uF</t>
  </si>
  <si>
    <t>USB4105-GF-A</t>
  </si>
  <si>
    <t>RED</t>
  </si>
  <si>
    <t>Emerald</t>
  </si>
  <si>
    <t>DNP</t>
  </si>
  <si>
    <t>3.3K</t>
  </si>
  <si>
    <t>100K</t>
  </si>
  <si>
    <t>33K</t>
  </si>
  <si>
    <t>10K</t>
  </si>
  <si>
    <t>1K</t>
  </si>
  <si>
    <t>20mR</t>
  </si>
  <si>
    <t>10uH</t>
  </si>
  <si>
    <t>IP6826</t>
  </si>
  <si>
    <t>Quantity</t>
  </si>
  <si>
    <t>#Column Name Error:' Remarks</t>
  </si>
  <si>
    <t>Capacitor</t>
  </si>
  <si>
    <t>Connector</t>
  </si>
  <si>
    <t>INJOINIC</t>
  </si>
  <si>
    <t>760308103102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</si>
</sst>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/>
    <xf numFmtId="49" fontId="3" fillId="3" borderId="4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3" fillId="3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5"/>
  <sheetViews>
    <sheetView tabSelected="1" workbookViewId="0">
      <selection activeCell="F27" sqref="F2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style="19" bestFit="1" customWidth="1"/>
    <col min="7" max="7" width="33.42578125" style="19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15"/>
      <c r="G1" s="15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9</v>
      </c>
      <c r="E2" s="6" t="s">
        <v>33</v>
      </c>
      <c r="F2" s="20" t="s">
        <v>53</v>
      </c>
      <c r="G2" s="16" t="s">
        <v>66</v>
      </c>
      <c r="H2" s="5" t="s">
        <v>75</v>
      </c>
      <c r="I2" s="6" t="s">
        <v>84</v>
      </c>
      <c r="J2" s="5" t="s">
        <v>104</v>
      </c>
      <c r="K2" s="5" t="s">
        <v>105</v>
      </c>
    </row>
    <row r="3" spans="1:11" ht="15.75" thickBot="1" x14ac:dyDescent="0.3">
      <c r="A3" s="1"/>
      <c r="B3" s="11">
        <f>ROW(B3) - ROW($B$2)</f>
        <v>1</v>
      </c>
      <c r="C3" s="12" t="s">
        <v>106</v>
      </c>
      <c r="D3" s="7" t="s">
        <v>10</v>
      </c>
      <c r="E3" s="8" t="s">
        <v>34</v>
      </c>
      <c r="F3" s="21" t="s">
        <v>54</v>
      </c>
      <c r="G3" s="17"/>
      <c r="H3" s="7"/>
      <c r="I3" s="8" t="s">
        <v>85</v>
      </c>
      <c r="J3" s="7">
        <v>1</v>
      </c>
      <c r="K3" s="7"/>
    </row>
    <row r="4" spans="1:11" ht="15.75" thickBot="1" x14ac:dyDescent="0.3">
      <c r="A4" s="1"/>
      <c r="B4" s="11">
        <f t="shared" ref="B4:B24" si="0">ROW(B4) - ROW($B$2)</f>
        <v>2</v>
      </c>
      <c r="C4" s="12" t="s">
        <v>106</v>
      </c>
      <c r="D4" s="9" t="s">
        <v>11</v>
      </c>
      <c r="E4" s="10" t="s">
        <v>35</v>
      </c>
      <c r="F4" s="22" t="s">
        <v>54</v>
      </c>
      <c r="G4" s="18"/>
      <c r="H4" s="9"/>
      <c r="I4" s="10" t="s">
        <v>86</v>
      </c>
      <c r="J4" s="9">
        <v>6</v>
      </c>
      <c r="K4" s="9"/>
    </row>
    <row r="5" spans="1:11" ht="15.75" thickBot="1" x14ac:dyDescent="0.3">
      <c r="A5" s="1"/>
      <c r="B5" s="11">
        <f>ROW(B5) - ROW($B$2)</f>
        <v>3</v>
      </c>
      <c r="C5" s="12" t="s">
        <v>106</v>
      </c>
      <c r="D5" s="7" t="s">
        <v>12</v>
      </c>
      <c r="E5" s="8"/>
      <c r="F5" s="21" t="s">
        <v>55</v>
      </c>
      <c r="G5" s="17"/>
      <c r="H5" s="7"/>
      <c r="I5" s="8" t="s">
        <v>87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106</v>
      </c>
      <c r="D6" s="9" t="s">
        <v>13</v>
      </c>
      <c r="E6" s="10" t="s">
        <v>36</v>
      </c>
      <c r="F6" s="22" t="s">
        <v>54</v>
      </c>
      <c r="G6" s="18"/>
      <c r="H6" s="9"/>
      <c r="I6" s="10" t="s">
        <v>88</v>
      </c>
      <c r="J6" s="9">
        <v>6</v>
      </c>
      <c r="K6" s="9"/>
    </row>
    <row r="7" spans="1:11" ht="15.75" thickBot="1" x14ac:dyDescent="0.3">
      <c r="A7" s="1"/>
      <c r="B7" s="11">
        <f>ROW(B7) - ROW($B$2)</f>
        <v>5</v>
      </c>
      <c r="C7" s="12" t="s">
        <v>106</v>
      </c>
      <c r="D7" s="7" t="s">
        <v>14</v>
      </c>
      <c r="E7" s="8" t="s">
        <v>37</v>
      </c>
      <c r="F7" s="21" t="s">
        <v>56</v>
      </c>
      <c r="G7" s="17"/>
      <c r="H7" s="7"/>
      <c r="I7" s="8" t="s">
        <v>89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2" t="s">
        <v>106</v>
      </c>
      <c r="D8" s="9" t="s">
        <v>15</v>
      </c>
      <c r="E8" s="10" t="s">
        <v>38</v>
      </c>
      <c r="F8" s="22" t="s">
        <v>54</v>
      </c>
      <c r="G8" s="18"/>
      <c r="H8" s="9"/>
      <c r="I8" s="10" t="s">
        <v>90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106</v>
      </c>
      <c r="D9" s="7" t="s">
        <v>16</v>
      </c>
      <c r="E9" s="8" t="s">
        <v>39</v>
      </c>
      <c r="F9" s="21" t="s">
        <v>54</v>
      </c>
      <c r="G9" s="17"/>
      <c r="H9" s="7"/>
      <c r="I9" s="8" t="s">
        <v>91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2</v>
      </c>
      <c r="D10" s="9" t="s">
        <v>17</v>
      </c>
      <c r="E10" s="10" t="s">
        <v>40</v>
      </c>
      <c r="F10" s="22" t="s">
        <v>57</v>
      </c>
      <c r="G10" s="18" t="s">
        <v>67</v>
      </c>
      <c r="H10" s="9" t="s">
        <v>76</v>
      </c>
      <c r="I10" s="10" t="s">
        <v>67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18</v>
      </c>
      <c r="E11" s="8" t="s">
        <v>41</v>
      </c>
      <c r="F11" s="21" t="s">
        <v>58</v>
      </c>
      <c r="G11" s="17" t="s">
        <v>68</v>
      </c>
      <c r="H11" s="7" t="s">
        <v>77</v>
      </c>
      <c r="I11" s="8" t="s">
        <v>68</v>
      </c>
      <c r="J11" s="7">
        <v>2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4</v>
      </c>
      <c r="D12" s="9" t="s">
        <v>19</v>
      </c>
      <c r="E12" s="10" t="s">
        <v>42</v>
      </c>
      <c r="F12" s="22" t="s">
        <v>59</v>
      </c>
      <c r="G12" s="18" t="s">
        <v>69</v>
      </c>
      <c r="H12" s="9" t="s">
        <v>78</v>
      </c>
      <c r="I12" s="10" t="s">
        <v>69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107</v>
      </c>
      <c r="D13" s="7" t="s">
        <v>20</v>
      </c>
      <c r="E13" s="8"/>
      <c r="F13" s="21" t="s">
        <v>60</v>
      </c>
      <c r="G13" s="17"/>
      <c r="H13" s="7"/>
      <c r="I13" s="8" t="s">
        <v>92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5</v>
      </c>
      <c r="D14" s="9" t="s">
        <v>21</v>
      </c>
      <c r="E14" s="10" t="s">
        <v>43</v>
      </c>
      <c r="F14" s="22" t="s">
        <v>61</v>
      </c>
      <c r="G14" s="18" t="s">
        <v>70</v>
      </c>
      <c r="H14" s="9" t="s">
        <v>79</v>
      </c>
      <c r="I14" s="10" t="s">
        <v>93</v>
      </c>
      <c r="J14" s="9">
        <v>2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22</v>
      </c>
      <c r="E15" s="8" t="s">
        <v>44</v>
      </c>
      <c r="F15" s="21" t="s">
        <v>61</v>
      </c>
      <c r="G15" s="17" t="s">
        <v>71</v>
      </c>
      <c r="H15" s="7" t="s">
        <v>79</v>
      </c>
      <c r="I15" s="8" t="s">
        <v>94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7</v>
      </c>
      <c r="D16" s="9" t="s">
        <v>23</v>
      </c>
      <c r="E16" s="10"/>
      <c r="F16" s="22" t="s">
        <v>62</v>
      </c>
      <c r="G16" s="18"/>
      <c r="H16" s="9"/>
      <c r="I16" s="10" t="s">
        <v>95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7</v>
      </c>
      <c r="D17" s="7" t="s">
        <v>24</v>
      </c>
      <c r="E17" s="8" t="s">
        <v>45</v>
      </c>
      <c r="F17" s="21" t="s">
        <v>62</v>
      </c>
      <c r="G17" s="17"/>
      <c r="H17" s="7"/>
      <c r="I17" s="8" t="s">
        <v>96</v>
      </c>
      <c r="J17" s="7">
        <v>2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6</v>
      </c>
      <c r="D18" s="9" t="s">
        <v>25</v>
      </c>
      <c r="E18" s="10" t="s">
        <v>46</v>
      </c>
      <c r="F18" s="22" t="s">
        <v>62</v>
      </c>
      <c r="G18" s="18" t="s">
        <v>72</v>
      </c>
      <c r="H18" s="9" t="s">
        <v>80</v>
      </c>
      <c r="I18" s="10" t="s">
        <v>97</v>
      </c>
      <c r="J18" s="9">
        <v>6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7</v>
      </c>
      <c r="D19" s="7" t="s">
        <v>26</v>
      </c>
      <c r="E19" s="8" t="s">
        <v>47</v>
      </c>
      <c r="F19" s="21" t="s">
        <v>62</v>
      </c>
      <c r="G19" s="17"/>
      <c r="H19" s="7"/>
      <c r="I19" s="8" t="s">
        <v>98</v>
      </c>
      <c r="J19" s="7">
        <v>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7</v>
      </c>
      <c r="D20" s="9" t="s">
        <v>27</v>
      </c>
      <c r="E20" s="10" t="s">
        <v>48</v>
      </c>
      <c r="F20" s="22" t="s">
        <v>62</v>
      </c>
      <c r="G20" s="18"/>
      <c r="H20" s="9"/>
      <c r="I20" s="10" t="s">
        <v>99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3" t="s">
        <v>7</v>
      </c>
      <c r="D21" s="7" t="s">
        <v>28</v>
      </c>
      <c r="E21" s="8" t="s">
        <v>49</v>
      </c>
      <c r="F21" s="21" t="s">
        <v>62</v>
      </c>
      <c r="G21" s="17"/>
      <c r="H21" s="7"/>
      <c r="I21" s="8" t="s">
        <v>100</v>
      </c>
      <c r="J21" s="7">
        <v>4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7</v>
      </c>
      <c r="D22" s="9" t="s">
        <v>29</v>
      </c>
      <c r="E22" s="10" t="s">
        <v>50</v>
      </c>
      <c r="F22" s="22" t="s">
        <v>63</v>
      </c>
      <c r="G22" s="18" t="s">
        <v>73</v>
      </c>
      <c r="H22" s="9" t="s">
        <v>81</v>
      </c>
      <c r="I22" s="10" t="s">
        <v>101</v>
      </c>
      <c r="J22" s="9">
        <v>2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8</v>
      </c>
      <c r="D23" s="7" t="s">
        <v>30</v>
      </c>
      <c r="E23" s="8" t="s">
        <v>51</v>
      </c>
      <c r="F23" s="21" t="s">
        <v>64</v>
      </c>
      <c r="G23" s="17" t="s">
        <v>74</v>
      </c>
      <c r="H23" s="7" t="s">
        <v>82</v>
      </c>
      <c r="I23" s="8" t="s">
        <v>74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2" t="s">
        <v>8</v>
      </c>
      <c r="D24" s="9" t="s">
        <v>31</v>
      </c>
      <c r="E24" s="10" t="s">
        <v>52</v>
      </c>
      <c r="F24" s="22" t="s">
        <v>109</v>
      </c>
      <c r="G24" s="18" t="s">
        <v>109</v>
      </c>
      <c r="H24" s="9" t="s">
        <v>83</v>
      </c>
      <c r="I24" s="10" t="s">
        <v>102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8</v>
      </c>
      <c r="D25" s="7" t="s">
        <v>32</v>
      </c>
      <c r="E25" s="8"/>
      <c r="F25" s="21" t="s">
        <v>65</v>
      </c>
      <c r="G25" s="17" t="s">
        <v>103</v>
      </c>
      <c r="H25" s="7" t="s">
        <v>108</v>
      </c>
      <c r="I25" s="8" t="s">
        <v>103</v>
      </c>
      <c r="J25" s="7">
        <v>2</v>
      </c>
      <c r="K2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zyntellitech</cp:lastModifiedBy>
  <dcterms:created xsi:type="dcterms:W3CDTF">2019-12-12T10:34:26Z</dcterms:created>
  <dcterms:modified xsi:type="dcterms:W3CDTF">2025-11-19T17:30:47Z</dcterms:modified>
</cp:coreProperties>
</file>